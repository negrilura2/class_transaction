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模板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<sst xmlns="http://schemas.openxmlformats.org/spreadsheetml/2006/main" count="336" uniqueCount="145">
  <si>
    <t>2213041801</t>
  </si>
  <si>
    <t>原婧</t>
  </si>
  <si>
    <t>2.846</t>
  </si>
  <si>
    <t>2213041802</t>
  </si>
  <si>
    <t>孟思琪</t>
  </si>
  <si>
    <t>3.821</t>
  </si>
  <si>
    <t>2213041803</t>
  </si>
  <si>
    <t>郭美甜</t>
  </si>
  <si>
    <t>3.395</t>
  </si>
  <si>
    <t>2213041804</t>
  </si>
  <si>
    <t>候亚茹</t>
  </si>
  <si>
    <t>3.117</t>
  </si>
  <si>
    <t>2213041805</t>
  </si>
  <si>
    <t>崔钰晴</t>
  </si>
  <si>
    <t>3.095</t>
  </si>
  <si>
    <t>2213041806</t>
  </si>
  <si>
    <t>吴欣宇</t>
  </si>
  <si>
    <t>2.992</t>
  </si>
  <si>
    <t>2213041807</t>
  </si>
  <si>
    <t>李思菲</t>
  </si>
  <si>
    <t>2.552</t>
  </si>
  <si>
    <t>2213041808</t>
  </si>
  <si>
    <t>王佳琪</t>
  </si>
  <si>
    <t>3.302</t>
  </si>
  <si>
    <t>2213041809</t>
  </si>
  <si>
    <t>张博琳</t>
  </si>
  <si>
    <t>3.091</t>
  </si>
  <si>
    <t>2213041810</t>
  </si>
  <si>
    <t>李泓钰</t>
  </si>
  <si>
    <t>3.064</t>
  </si>
  <si>
    <t>2213041811</t>
  </si>
  <si>
    <t>任静</t>
  </si>
  <si>
    <t>3.405</t>
  </si>
  <si>
    <t>2213041812</t>
  </si>
  <si>
    <t>杨舒茜</t>
  </si>
  <si>
    <t>3.348</t>
  </si>
  <si>
    <t>2213041813</t>
  </si>
  <si>
    <t>张海波</t>
  </si>
  <si>
    <t>3.687</t>
  </si>
  <si>
    <t>2213041814</t>
  </si>
  <si>
    <t>郝中硕</t>
  </si>
  <si>
    <t>3.050</t>
  </si>
  <si>
    <t>2213041815</t>
  </si>
  <si>
    <t>李金桥</t>
  </si>
  <si>
    <t>2.878</t>
  </si>
  <si>
    <t>2213041816</t>
  </si>
  <si>
    <t>刘晓峰</t>
  </si>
  <si>
    <t>3.240</t>
  </si>
  <si>
    <t>2213041817</t>
  </si>
  <si>
    <t>高薛涵</t>
  </si>
  <si>
    <t>2.889</t>
  </si>
  <si>
    <t>2213041818</t>
  </si>
  <si>
    <t>吕闻迪</t>
  </si>
  <si>
    <t>2.938</t>
  </si>
  <si>
    <t>2213041819</t>
  </si>
  <si>
    <t>李阳</t>
  </si>
  <si>
    <t>2.738</t>
  </si>
  <si>
    <t>2213041820</t>
  </si>
  <si>
    <t>卫妍行</t>
  </si>
  <si>
    <t>2.298</t>
  </si>
  <si>
    <t>2213041821</t>
  </si>
  <si>
    <t>王浩玉</t>
  </si>
  <si>
    <t>2.126</t>
  </si>
  <si>
    <t>2213041822</t>
  </si>
  <si>
    <t>王文棋</t>
  </si>
  <si>
    <t>2.441</t>
  </si>
  <si>
    <t>2213041823</t>
  </si>
  <si>
    <t>李岩松</t>
  </si>
  <si>
    <t>2.722</t>
  </si>
  <si>
    <t>2213041824</t>
  </si>
  <si>
    <t>吴龙</t>
  </si>
  <si>
    <t>2.576</t>
  </si>
  <si>
    <t>2213041825</t>
  </si>
  <si>
    <t>郭亚宁</t>
  </si>
  <si>
    <t>3.466</t>
  </si>
  <si>
    <t>2213041826</t>
  </si>
  <si>
    <t>樊子遥</t>
  </si>
  <si>
    <t>2.618</t>
  </si>
  <si>
    <t>2213041827</t>
  </si>
  <si>
    <t>李昕岩</t>
  </si>
  <si>
    <t>2.530</t>
  </si>
  <si>
    <t>2213041828</t>
  </si>
  <si>
    <t>郭庆</t>
  </si>
  <si>
    <t>3.283</t>
  </si>
  <si>
    <t>2213041829</t>
  </si>
  <si>
    <t>胡吉林</t>
  </si>
  <si>
    <t>3.255</t>
  </si>
  <si>
    <t>2213041830</t>
  </si>
  <si>
    <t>刘孜涛</t>
  </si>
  <si>
    <t>2.536</t>
  </si>
  <si>
    <t>2213041831</t>
  </si>
  <si>
    <t>李泽鹏</t>
  </si>
  <si>
    <t>2.775</t>
  </si>
  <si>
    <t>2213041832</t>
  </si>
  <si>
    <t>刘一博</t>
  </si>
  <si>
    <t>3.005</t>
  </si>
  <si>
    <t>2213041833</t>
  </si>
  <si>
    <t>黄经纬</t>
  </si>
  <si>
    <t>3.165</t>
  </si>
  <si>
    <t>2213041834</t>
  </si>
  <si>
    <t>李彦斌</t>
  </si>
  <si>
    <t>3.393</t>
  </si>
  <si>
    <t>2213041835</t>
  </si>
  <si>
    <t>吕炳荣</t>
  </si>
  <si>
    <t>3.189</t>
  </si>
  <si>
    <t>2213041836</t>
  </si>
  <si>
    <t>李昱军</t>
  </si>
  <si>
    <t>2.739</t>
  </si>
  <si>
    <t>2213041837</t>
  </si>
  <si>
    <t>高彦福</t>
  </si>
  <si>
    <t>2.697</t>
  </si>
  <si>
    <t>2213041839</t>
  </si>
  <si>
    <t>葛恩涛</t>
  </si>
  <si>
    <t>3.831</t>
  </si>
  <si>
    <t>2213041840</t>
  </si>
  <si>
    <t>常惠康</t>
  </si>
  <si>
    <t>2.832</t>
  </si>
  <si>
    <t>2213041841</t>
  </si>
  <si>
    <t>毛翔</t>
  </si>
  <si>
    <t>2.398</t>
  </si>
  <si>
    <t>2213041842</t>
  </si>
  <si>
    <t>樊佳昌</t>
  </si>
  <si>
    <t>2.640</t>
  </si>
  <si>
    <t>2213041843</t>
  </si>
  <si>
    <t>杨文凯</t>
  </si>
  <si>
    <t>3.070</t>
  </si>
  <si>
    <t>2213041844</t>
  </si>
  <si>
    <t>樊增辉</t>
  </si>
  <si>
    <t>2.415</t>
  </si>
  <si>
    <t>2213041845</t>
  </si>
  <si>
    <t>李孟哲</t>
  </si>
  <si>
    <t>2.091</t>
  </si>
  <si>
    <t>2213041846</t>
  </si>
  <si>
    <t>晋晨翔</t>
  </si>
  <si>
    <t>2.458</t>
  </si>
  <si>
    <t>2213041847</t>
  </si>
  <si>
    <t>张雨</t>
  </si>
  <si>
    <t>2.488</t>
  </si>
  <si>
    <t>2213041848</t>
  </si>
  <si>
    <t>吴政豪</t>
  </si>
  <si>
    <t>3.037</t>
  </si>
  <si>
    <t>2213041849</t>
  </si>
  <si>
    <t>李恒善</t>
  </si>
  <si>
    <t>3.202</t>
  </si>
  <si>
    <t>22130418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</si>
</sst>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0"/>
      <name val="Arial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9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76" fontId="2" fillId="2" borderId="6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58"/>
  <sheetViews>
    <sheetView tabSelected="1" workbookViewId="0">
      <selection activeCell="R7" sqref="R7"/>
    </sheetView>
  </sheetViews>
  <sheetFormatPr defaultColWidth="9" defaultRowHeight="13.5"/>
  <cols>
    <col min="4" max="4" width="9" style="2"/>
    <col min="6" max="6" width="10.5" style="2" customWidth="1"/>
    <col min="7" max="7" width="20.625" customWidth="1"/>
    <col min="9" max="9" width="9" style="2"/>
    <col min="10" max="10" width="12.625" customWidth="1"/>
    <col min="11" max="12" width="9" style="2"/>
    <col min="14" max="14" width="10.625" customWidth="1"/>
  </cols>
  <sheetData>
    <row r="2" ht="15" spans="1:15">
      <c r="A2" s="3" t="s">
        <v>0</v>
      </c>
      <c r="B2" s="3" t="s">
        <v>1</v>
      </c>
      <c r="C2" s="4">
        <v>100</v>
      </c>
      <c r="D2" s="5"/>
      <c r="E2" s="5">
        <f>C2-D2</f>
        <v>100</v>
      </c>
      <c r="F2" s="6" t="s">
        <v>2</v>
      </c>
      <c r="G2" s="7">
        <f>(F2+5)*10</f>
        <v>78.46</v>
      </c>
      <c r="H2" s="5">
        <v>60</v>
      </c>
      <c r="I2" s="5"/>
      <c r="J2" s="7">
        <f>H2+I2</f>
        <v>60</v>
      </c>
      <c r="K2" s="5">
        <v>60</v>
      </c>
      <c r="L2" s="5"/>
      <c r="M2" s="7">
        <f>K2+L2</f>
        <v>60</v>
      </c>
      <c r="N2" s="7">
        <f>E2*0.15+G2*0.6+J2*0.1+M2*0.15</f>
        <v>77.076</v>
      </c>
      <c r="O2" s="8"/>
    </row>
    <row r="3" ht="15" spans="1:15">
      <c r="A3" s="9" t="s">
        <v>3</v>
      </c>
      <c r="B3" s="9" t="s">
        <v>4</v>
      </c>
      <c r="C3" s="10">
        <v>100</v>
      </c>
      <c r="D3" s="11"/>
      <c r="E3" s="5">
        <f t="shared" ref="E3:E34" si="0">C3-D3</f>
        <v>100</v>
      </c>
      <c r="F3" s="12" t="s">
        <v>5</v>
      </c>
      <c r="G3" s="7">
        <f t="shared" ref="G3:G34" si="1">(F3+5)*10</f>
        <v>88.21</v>
      </c>
      <c r="H3" s="11">
        <v>60</v>
      </c>
      <c r="I3" s="11"/>
      <c r="J3" s="7">
        <f t="shared" ref="J3:J34" si="2">H3+I3</f>
        <v>60</v>
      </c>
      <c r="K3" s="11">
        <v>60</v>
      </c>
      <c r="L3" s="11"/>
      <c r="M3" s="7">
        <f t="shared" ref="M3:M34" si="3">K3+L3</f>
        <v>60</v>
      </c>
      <c r="N3" s="7">
        <f t="shared" ref="N3:N8" si="4">E3*0.15+G3*0.6+J3*0.1+M3*0.15</f>
        <v>82.926</v>
      </c>
      <c r="O3" s="13"/>
    </row>
    <row r="4" ht="15" spans="1:15">
      <c r="A4" s="9" t="s">
        <v>6</v>
      </c>
      <c r="B4" s="9" t="s">
        <v>7</v>
      </c>
      <c r="C4" s="10">
        <v>100</v>
      </c>
      <c r="D4" s="11"/>
      <c r="E4" s="5">
        <f t="shared" si="0"/>
        <v>100</v>
      </c>
      <c r="F4" s="12" t="s">
        <v>8</v>
      </c>
      <c r="G4" s="7">
        <f t="shared" si="1"/>
        <v>83.95</v>
      </c>
      <c r="H4" s="11">
        <v>60</v>
      </c>
      <c r="I4" s="11"/>
      <c r="J4" s="7">
        <f t="shared" si="2"/>
        <v>60</v>
      </c>
      <c r="K4" s="11">
        <v>60</v>
      </c>
      <c r="L4" s="11"/>
      <c r="M4" s="7">
        <f t="shared" si="3"/>
        <v>60</v>
      </c>
      <c r="N4" s="7">
        <f t="shared" si="4"/>
        <v>80.37</v>
      </c>
      <c r="O4" s="13"/>
    </row>
    <row r="5" ht="15" spans="1:15">
      <c r="A5" s="9" t="s">
        <v>9</v>
      </c>
      <c r="B5" s="9" t="s">
        <v>10</v>
      </c>
      <c r="C5" s="4">
        <v>100</v>
      </c>
      <c r="D5" s="11"/>
      <c r="E5" s="5">
        <f t="shared" si="0"/>
        <v>100</v>
      </c>
      <c r="F5" s="12" t="s">
        <v>11</v>
      </c>
      <c r="G5" s="7">
        <f t="shared" si="1"/>
        <v>81.17</v>
      </c>
      <c r="H5" s="5">
        <v>60</v>
      </c>
      <c r="I5" s="11"/>
      <c r="J5" s="7">
        <f t="shared" si="2"/>
        <v>60</v>
      </c>
      <c r="K5" s="5">
        <v>60</v>
      </c>
      <c r="L5" s="11"/>
      <c r="M5" s="7">
        <f t="shared" si="3"/>
        <v>60</v>
      </c>
      <c r="N5" s="7">
        <f t="shared" si="4"/>
        <v>78.702</v>
      </c>
      <c r="O5" s="13"/>
    </row>
    <row r="6" ht="15" spans="1:15">
      <c r="A6" s="9" t="s">
        <v>12</v>
      </c>
      <c r="B6" s="9" t="s">
        <v>13</v>
      </c>
      <c r="C6" s="10">
        <v>100</v>
      </c>
      <c r="D6" s="11"/>
      <c r="E6" s="5">
        <f t="shared" si="0"/>
        <v>100</v>
      </c>
      <c r="F6" s="12" t="s">
        <v>14</v>
      </c>
      <c r="G6" s="7">
        <f t="shared" si="1"/>
        <v>80.95</v>
      </c>
      <c r="H6" s="11">
        <v>60</v>
      </c>
      <c r="I6" s="11"/>
      <c r="J6" s="7">
        <f t="shared" si="2"/>
        <v>60</v>
      </c>
      <c r="K6" s="11">
        <v>60</v>
      </c>
      <c r="L6" s="11"/>
      <c r="M6" s="7">
        <f t="shared" si="3"/>
        <v>60</v>
      </c>
      <c r="N6" s="7">
        <f t="shared" si="4"/>
        <v>78.57</v>
      </c>
      <c r="O6" s="13"/>
    </row>
    <row r="7" ht="15" spans="1:15">
      <c r="A7" s="9" t="s">
        <v>15</v>
      </c>
      <c r="B7" s="9" t="s">
        <v>16</v>
      </c>
      <c r="C7" s="10">
        <v>100</v>
      </c>
      <c r="D7" s="11"/>
      <c r="E7" s="5">
        <f t="shared" si="0"/>
        <v>100</v>
      </c>
      <c r="F7" s="12" t="s">
        <v>17</v>
      </c>
      <c r="G7" s="7">
        <f t="shared" si="1"/>
        <v>79.92</v>
      </c>
      <c r="H7" s="11">
        <v>60</v>
      </c>
      <c r="I7" s="11"/>
      <c r="J7" s="7">
        <f t="shared" si="2"/>
        <v>60</v>
      </c>
      <c r="K7" s="11">
        <v>60</v>
      </c>
      <c r="L7" s="11"/>
      <c r="M7" s="7">
        <f t="shared" si="3"/>
        <v>60</v>
      </c>
      <c r="N7" s="7">
        <f t="shared" si="4"/>
        <v>77.952</v>
      </c>
      <c r="O7" s="13"/>
    </row>
    <row r="8" ht="15" spans="1:15">
      <c r="A8" s="9" t="s">
        <v>18</v>
      </c>
      <c r="B8" s="9" t="s">
        <v>19</v>
      </c>
      <c r="C8" s="4">
        <v>100</v>
      </c>
      <c r="D8" s="11"/>
      <c r="E8" s="5">
        <f t="shared" si="0"/>
        <v>100</v>
      </c>
      <c r="F8" s="12" t="s">
        <v>20</v>
      </c>
      <c r="G8" s="7">
        <f t="shared" si="1"/>
        <v>75.52</v>
      </c>
      <c r="H8" s="5">
        <v>60</v>
      </c>
      <c r="I8" s="11"/>
      <c r="J8" s="7">
        <f t="shared" si="2"/>
        <v>60</v>
      </c>
      <c r="K8" s="5">
        <v>60</v>
      </c>
      <c r="L8" s="11"/>
      <c r="M8" s="7">
        <f t="shared" si="3"/>
        <v>60</v>
      </c>
      <c r="N8" s="7">
        <f t="shared" si="4"/>
        <v>75.312</v>
      </c>
      <c r="O8" s="13"/>
    </row>
    <row r="9" ht="15" spans="1:15">
      <c r="A9" s="9" t="s">
        <v>21</v>
      </c>
      <c r="B9" s="9" t="s">
        <v>22</v>
      </c>
      <c r="C9" s="10">
        <v>100</v>
      </c>
      <c r="D9" s="11"/>
      <c r="E9" s="5">
        <f t="shared" si="0"/>
        <v>100</v>
      </c>
      <c r="F9" s="12" t="s">
        <v>23</v>
      </c>
      <c r="G9" s="7">
        <f t="shared" si="1"/>
        <v>83.02</v>
      </c>
      <c r="H9" s="11">
        <v>60</v>
      </c>
      <c r="I9" s="11"/>
      <c r="J9" s="7">
        <f t="shared" si="2"/>
        <v>60</v>
      </c>
      <c r="K9" s="11">
        <v>60</v>
      </c>
      <c r="L9" s="11"/>
      <c r="M9" s="7">
        <f t="shared" si="3"/>
        <v>60</v>
      </c>
      <c r="N9" s="7">
        <f t="shared" ref="N9:N40" si="5">E9*0.15+G9*0.6+J9*0.1+M9*0.15</f>
        <v>79.812</v>
      </c>
      <c r="O9" s="13"/>
    </row>
    <row r="10" ht="15" spans="1:15">
      <c r="A10" s="9" t="s">
        <v>24</v>
      </c>
      <c r="B10" s="9" t="s">
        <v>25</v>
      </c>
      <c r="C10" s="10">
        <v>100</v>
      </c>
      <c r="D10" s="11"/>
      <c r="E10" s="5">
        <f t="shared" si="0"/>
        <v>100</v>
      </c>
      <c r="F10" s="12" t="s">
        <v>26</v>
      </c>
      <c r="G10" s="7">
        <f t="shared" si="1"/>
        <v>80.91</v>
      </c>
      <c r="H10" s="11">
        <v>60</v>
      </c>
      <c r="I10" s="11"/>
      <c r="J10" s="7">
        <f t="shared" si="2"/>
        <v>60</v>
      </c>
      <c r="K10" s="11">
        <v>60</v>
      </c>
      <c r="L10" s="11"/>
      <c r="M10" s="7">
        <f t="shared" si="3"/>
        <v>60</v>
      </c>
      <c r="N10" s="7">
        <f t="shared" si="5"/>
        <v>78.546</v>
      </c>
      <c r="O10" s="13"/>
    </row>
    <row r="11" ht="15" spans="1:15">
      <c r="A11" s="9" t="s">
        <v>27</v>
      </c>
      <c r="B11" s="9" t="s">
        <v>28</v>
      </c>
      <c r="C11" s="4">
        <v>100</v>
      </c>
      <c r="D11" s="11"/>
      <c r="E11" s="5">
        <f t="shared" si="0"/>
        <v>100</v>
      </c>
      <c r="F11" s="12" t="s">
        <v>29</v>
      </c>
      <c r="G11" s="7">
        <f t="shared" si="1"/>
        <v>80.64</v>
      </c>
      <c r="H11" s="5">
        <v>60</v>
      </c>
      <c r="I11" s="11"/>
      <c r="J11" s="7">
        <f t="shared" si="2"/>
        <v>60</v>
      </c>
      <c r="K11" s="5">
        <v>60</v>
      </c>
      <c r="L11" s="11"/>
      <c r="M11" s="7">
        <f t="shared" si="3"/>
        <v>60</v>
      </c>
      <c r="N11" s="7">
        <f t="shared" si="5"/>
        <v>78.384</v>
      </c>
      <c r="O11" s="13"/>
    </row>
    <row r="12" ht="15" spans="1:15">
      <c r="A12" s="9" t="s">
        <v>30</v>
      </c>
      <c r="B12" s="9" t="s">
        <v>31</v>
      </c>
      <c r="C12" s="10">
        <v>100</v>
      </c>
      <c r="D12" s="11"/>
      <c r="E12" s="5">
        <f t="shared" si="0"/>
        <v>100</v>
      </c>
      <c r="F12" s="12" t="s">
        <v>32</v>
      </c>
      <c r="G12" s="7">
        <f t="shared" si="1"/>
        <v>84.05</v>
      </c>
      <c r="H12" s="11">
        <v>60</v>
      </c>
      <c r="I12" s="11"/>
      <c r="J12" s="7">
        <f t="shared" si="2"/>
        <v>60</v>
      </c>
      <c r="K12" s="11">
        <v>60</v>
      </c>
      <c r="L12" s="11"/>
      <c r="M12" s="7">
        <f t="shared" si="3"/>
        <v>60</v>
      </c>
      <c r="N12" s="7">
        <f t="shared" si="5"/>
        <v>80.43</v>
      </c>
      <c r="O12" s="13"/>
    </row>
    <row r="13" ht="15" spans="1:15">
      <c r="A13" s="9" t="s">
        <v>33</v>
      </c>
      <c r="B13" s="9" t="s">
        <v>34</v>
      </c>
      <c r="C13" s="10">
        <v>100</v>
      </c>
      <c r="D13" s="11"/>
      <c r="E13" s="5">
        <f t="shared" si="0"/>
        <v>100</v>
      </c>
      <c r="F13" s="12" t="s">
        <v>35</v>
      </c>
      <c r="G13" s="7">
        <f t="shared" si="1"/>
        <v>83.48</v>
      </c>
      <c r="H13" s="11">
        <v>60</v>
      </c>
      <c r="I13" s="11"/>
      <c r="J13" s="7">
        <f t="shared" si="2"/>
        <v>60</v>
      </c>
      <c r="K13" s="11">
        <v>60</v>
      </c>
      <c r="L13" s="11"/>
      <c r="M13" s="7">
        <f t="shared" si="3"/>
        <v>60</v>
      </c>
      <c r="N13" s="7">
        <f t="shared" si="5"/>
        <v>80.088</v>
      </c>
      <c r="O13" s="13"/>
    </row>
    <row r="14" ht="15" spans="1:15">
      <c r="A14" s="9" t="s">
        <v>36</v>
      </c>
      <c r="B14" s="9" t="s">
        <v>37</v>
      </c>
      <c r="C14" s="4">
        <v>100</v>
      </c>
      <c r="D14" s="11"/>
      <c r="E14" s="5">
        <f t="shared" si="0"/>
        <v>100</v>
      </c>
      <c r="F14" s="12" t="s">
        <v>38</v>
      </c>
      <c r="G14" s="7">
        <f t="shared" si="1"/>
        <v>86.87</v>
      </c>
      <c r="H14" s="5">
        <v>60</v>
      </c>
      <c r="I14" s="11"/>
      <c r="J14" s="7">
        <f t="shared" si="2"/>
        <v>60</v>
      </c>
      <c r="K14" s="5">
        <v>60</v>
      </c>
      <c r="L14" s="11"/>
      <c r="M14" s="7">
        <f t="shared" si="3"/>
        <v>60</v>
      </c>
      <c r="N14" s="7">
        <f t="shared" si="5"/>
        <v>82.122</v>
      </c>
      <c r="O14" s="13"/>
    </row>
    <row r="15" ht="15" spans="1:15">
      <c r="A15" s="9" t="s">
        <v>39</v>
      </c>
      <c r="B15" s="9" t="s">
        <v>40</v>
      </c>
      <c r="C15" s="10">
        <v>100</v>
      </c>
      <c r="D15" s="11"/>
      <c r="E15" s="5">
        <f t="shared" si="0"/>
        <v>100</v>
      </c>
      <c r="F15" s="12" t="s">
        <v>41</v>
      </c>
      <c r="G15" s="7">
        <f t="shared" si="1"/>
        <v>80.5</v>
      </c>
      <c r="H15" s="11">
        <v>60</v>
      </c>
      <c r="I15" s="11"/>
      <c r="J15" s="7">
        <f t="shared" si="2"/>
        <v>60</v>
      </c>
      <c r="K15" s="11">
        <v>60</v>
      </c>
      <c r="L15" s="11"/>
      <c r="M15" s="7">
        <f t="shared" si="3"/>
        <v>60</v>
      </c>
      <c r="N15" s="7">
        <f t="shared" si="5"/>
        <v>78.3</v>
      </c>
      <c r="O15" s="13"/>
    </row>
    <row r="16" ht="15" spans="1:15">
      <c r="A16" s="9" t="s">
        <v>42</v>
      </c>
      <c r="B16" s="9" t="s">
        <v>43</v>
      </c>
      <c r="C16" s="10">
        <v>100</v>
      </c>
      <c r="D16" s="11"/>
      <c r="E16" s="5">
        <f t="shared" si="0"/>
        <v>100</v>
      </c>
      <c r="F16" s="12" t="s">
        <v>44</v>
      </c>
      <c r="G16" s="7">
        <f t="shared" si="1"/>
        <v>78.78</v>
      </c>
      <c r="H16" s="11">
        <v>60</v>
      </c>
      <c r="I16" s="11"/>
      <c r="J16" s="7">
        <f t="shared" si="2"/>
        <v>60</v>
      </c>
      <c r="K16" s="11">
        <v>60</v>
      </c>
      <c r="L16" s="11"/>
      <c r="M16" s="7">
        <f t="shared" si="3"/>
        <v>60</v>
      </c>
      <c r="N16" s="7">
        <f t="shared" si="5"/>
        <v>77.268</v>
      </c>
      <c r="O16" s="13"/>
    </row>
    <row r="17" ht="15" spans="1:15">
      <c r="A17" s="9" t="s">
        <v>45</v>
      </c>
      <c r="B17" s="9" t="s">
        <v>46</v>
      </c>
      <c r="C17" s="4">
        <v>100</v>
      </c>
      <c r="D17" s="11"/>
      <c r="E17" s="5">
        <f t="shared" si="0"/>
        <v>100</v>
      </c>
      <c r="F17" s="12" t="s">
        <v>47</v>
      </c>
      <c r="G17" s="7">
        <f t="shared" si="1"/>
        <v>82.4</v>
      </c>
      <c r="H17" s="5">
        <v>60</v>
      </c>
      <c r="I17" s="11"/>
      <c r="J17" s="7">
        <f t="shared" si="2"/>
        <v>60</v>
      </c>
      <c r="K17" s="5">
        <v>60</v>
      </c>
      <c r="L17" s="11"/>
      <c r="M17" s="7">
        <f t="shared" si="3"/>
        <v>60</v>
      </c>
      <c r="N17" s="7">
        <f t="shared" si="5"/>
        <v>79.44</v>
      </c>
      <c r="O17" s="13"/>
    </row>
    <row r="18" ht="15" spans="1:15">
      <c r="A18" s="9" t="s">
        <v>48</v>
      </c>
      <c r="B18" s="9" t="s">
        <v>49</v>
      </c>
      <c r="C18" s="10">
        <v>100</v>
      </c>
      <c r="D18" s="11"/>
      <c r="E18" s="5">
        <f t="shared" si="0"/>
        <v>100</v>
      </c>
      <c r="F18" s="12" t="s">
        <v>50</v>
      </c>
      <c r="G18" s="7">
        <f t="shared" si="1"/>
        <v>78.89</v>
      </c>
      <c r="H18" s="11">
        <v>60</v>
      </c>
      <c r="I18" s="11"/>
      <c r="J18" s="7">
        <f t="shared" si="2"/>
        <v>60</v>
      </c>
      <c r="K18" s="11">
        <v>60</v>
      </c>
      <c r="L18" s="11"/>
      <c r="M18" s="7">
        <f t="shared" si="3"/>
        <v>60</v>
      </c>
      <c r="N18" s="7">
        <f t="shared" si="5"/>
        <v>77.334</v>
      </c>
      <c r="O18" s="13"/>
    </row>
    <row r="19" ht="15" spans="1:15">
      <c r="A19" s="9" t="s">
        <v>51</v>
      </c>
      <c r="B19" s="9" t="s">
        <v>52</v>
      </c>
      <c r="C19" s="10">
        <v>100</v>
      </c>
      <c r="D19" s="11"/>
      <c r="E19" s="5">
        <f t="shared" si="0"/>
        <v>100</v>
      </c>
      <c r="F19" s="12" t="s">
        <v>53</v>
      </c>
      <c r="G19" s="7">
        <f t="shared" si="1"/>
        <v>79.38</v>
      </c>
      <c r="H19" s="11">
        <v>60</v>
      </c>
      <c r="I19" s="11"/>
      <c r="J19" s="7">
        <f t="shared" si="2"/>
        <v>60</v>
      </c>
      <c r="K19" s="11">
        <v>60</v>
      </c>
      <c r="L19" s="11"/>
      <c r="M19" s="7">
        <f t="shared" si="3"/>
        <v>60</v>
      </c>
      <c r="N19" s="7">
        <f t="shared" si="5"/>
        <v>77.628</v>
      </c>
      <c r="O19" s="13"/>
    </row>
    <row r="20" ht="15" spans="1:15">
      <c r="A20" s="9" t="s">
        <v>54</v>
      </c>
      <c r="B20" s="9" t="s">
        <v>55</v>
      </c>
      <c r="C20" s="4">
        <v>100</v>
      </c>
      <c r="D20" s="11"/>
      <c r="E20" s="5">
        <f t="shared" si="0"/>
        <v>100</v>
      </c>
      <c r="F20" s="12" t="s">
        <v>56</v>
      </c>
      <c r="G20" s="7">
        <f t="shared" si="1"/>
        <v>77.38</v>
      </c>
      <c r="H20" s="5">
        <v>60</v>
      </c>
      <c r="I20" s="11"/>
      <c r="J20" s="7">
        <f t="shared" si="2"/>
        <v>60</v>
      </c>
      <c r="K20" s="5">
        <v>60</v>
      </c>
      <c r="L20" s="11"/>
      <c r="M20" s="7">
        <f t="shared" si="3"/>
        <v>60</v>
      </c>
      <c r="N20" s="7">
        <f t="shared" si="5"/>
        <v>76.428</v>
      </c>
      <c r="O20" s="13"/>
    </row>
    <row r="21" ht="15" spans="1:15">
      <c r="A21" s="9" t="s">
        <v>57</v>
      </c>
      <c r="B21" s="9" t="s">
        <v>58</v>
      </c>
      <c r="C21" s="10">
        <v>100</v>
      </c>
      <c r="D21" s="11"/>
      <c r="E21" s="5">
        <f t="shared" si="0"/>
        <v>100</v>
      </c>
      <c r="F21" s="12" t="s">
        <v>59</v>
      </c>
      <c r="G21" s="7">
        <f t="shared" si="1"/>
        <v>72.98</v>
      </c>
      <c r="H21" s="11">
        <v>60</v>
      </c>
      <c r="I21" s="11"/>
      <c r="J21" s="7">
        <f t="shared" si="2"/>
        <v>60</v>
      </c>
      <c r="K21" s="11">
        <v>60</v>
      </c>
      <c r="L21" s="11"/>
      <c r="M21" s="7">
        <f t="shared" si="3"/>
        <v>60</v>
      </c>
      <c r="N21" s="7">
        <f t="shared" si="5"/>
        <v>73.788</v>
      </c>
      <c r="O21" s="13"/>
    </row>
    <row r="22" ht="15" spans="1:15">
      <c r="A22" s="9" t="s">
        <v>60</v>
      </c>
      <c r="B22" s="9" t="s">
        <v>61</v>
      </c>
      <c r="C22" s="10">
        <v>100</v>
      </c>
      <c r="D22" s="11"/>
      <c r="E22" s="5">
        <f t="shared" si="0"/>
        <v>100</v>
      </c>
      <c r="F22" s="12" t="s">
        <v>62</v>
      </c>
      <c r="G22" s="7">
        <f t="shared" si="1"/>
        <v>71.26</v>
      </c>
      <c r="H22" s="11">
        <v>60</v>
      </c>
      <c r="I22" s="11"/>
      <c r="J22" s="7">
        <f t="shared" si="2"/>
        <v>60</v>
      </c>
      <c r="K22" s="11">
        <v>60</v>
      </c>
      <c r="L22" s="11"/>
      <c r="M22" s="7">
        <f t="shared" si="3"/>
        <v>60</v>
      </c>
      <c r="N22" s="7">
        <f t="shared" si="5"/>
        <v>72.756</v>
      </c>
      <c r="O22" s="13"/>
    </row>
    <row r="23" ht="15" spans="1:15">
      <c r="A23" s="9" t="s">
        <v>63</v>
      </c>
      <c r="B23" s="9" t="s">
        <v>64</v>
      </c>
      <c r="C23" s="4">
        <v>100</v>
      </c>
      <c r="D23" s="11"/>
      <c r="E23" s="5">
        <f t="shared" si="0"/>
        <v>100</v>
      </c>
      <c r="F23" s="12" t="s">
        <v>65</v>
      </c>
      <c r="G23" s="7">
        <f t="shared" si="1"/>
        <v>74.41</v>
      </c>
      <c r="H23" s="5">
        <v>60</v>
      </c>
      <c r="I23" s="11"/>
      <c r="J23" s="7">
        <f t="shared" si="2"/>
        <v>60</v>
      </c>
      <c r="K23" s="5">
        <v>60</v>
      </c>
      <c r="L23" s="11"/>
      <c r="M23" s="7">
        <f t="shared" si="3"/>
        <v>60</v>
      </c>
      <c r="N23" s="7">
        <f t="shared" si="5"/>
        <v>74.646</v>
      </c>
      <c r="O23" s="13"/>
    </row>
    <row r="24" ht="15" spans="1:15">
      <c r="A24" s="9" t="s">
        <v>66</v>
      </c>
      <c r="B24" s="9" t="s">
        <v>67</v>
      </c>
      <c r="C24" s="10">
        <v>100</v>
      </c>
      <c r="D24" s="11"/>
      <c r="E24" s="5">
        <f t="shared" si="0"/>
        <v>100</v>
      </c>
      <c r="F24" s="12" t="s">
        <v>68</v>
      </c>
      <c r="G24" s="7">
        <f t="shared" si="1"/>
        <v>77.22</v>
      </c>
      <c r="H24" s="11">
        <v>60</v>
      </c>
      <c r="I24" s="11"/>
      <c r="J24" s="7">
        <f t="shared" si="2"/>
        <v>60</v>
      </c>
      <c r="K24" s="11">
        <v>60</v>
      </c>
      <c r="L24" s="11"/>
      <c r="M24" s="7">
        <f t="shared" si="3"/>
        <v>60</v>
      </c>
      <c r="N24" s="7">
        <f t="shared" si="5"/>
        <v>76.332</v>
      </c>
      <c r="O24" s="13"/>
    </row>
    <row r="25" ht="15" spans="1:15">
      <c r="A25" s="9" t="s">
        <v>69</v>
      </c>
      <c r="B25" s="9" t="s">
        <v>70</v>
      </c>
      <c r="C25" s="10">
        <v>100</v>
      </c>
      <c r="D25" s="11"/>
      <c r="E25" s="5">
        <f t="shared" si="0"/>
        <v>100</v>
      </c>
      <c r="F25" s="12" t="s">
        <v>71</v>
      </c>
      <c r="G25" s="7">
        <f t="shared" si="1"/>
        <v>75.76</v>
      </c>
      <c r="H25" s="11">
        <v>60</v>
      </c>
      <c r="I25" s="11"/>
      <c r="J25" s="7">
        <f t="shared" si="2"/>
        <v>60</v>
      </c>
      <c r="K25" s="11">
        <v>60</v>
      </c>
      <c r="L25" s="11"/>
      <c r="M25" s="7">
        <f t="shared" si="3"/>
        <v>60</v>
      </c>
      <c r="N25" s="7">
        <f t="shared" si="5"/>
        <v>75.456</v>
      </c>
      <c r="O25" s="13"/>
    </row>
    <row r="26" ht="15" spans="1:15">
      <c r="A26" s="9" t="s">
        <v>72</v>
      </c>
      <c r="B26" s="9" t="s">
        <v>73</v>
      </c>
      <c r="C26" s="4">
        <v>100</v>
      </c>
      <c r="D26" s="11"/>
      <c r="E26" s="5">
        <f t="shared" si="0"/>
        <v>100</v>
      </c>
      <c r="F26" s="12" t="s">
        <v>74</v>
      </c>
      <c r="G26" s="7">
        <f t="shared" si="1"/>
        <v>84.66</v>
      </c>
      <c r="H26" s="5">
        <v>60</v>
      </c>
      <c r="I26" s="11"/>
      <c r="J26" s="7">
        <f t="shared" si="2"/>
        <v>60</v>
      </c>
      <c r="K26" s="5">
        <v>60</v>
      </c>
      <c r="L26" s="11"/>
      <c r="M26" s="7">
        <f t="shared" si="3"/>
        <v>60</v>
      </c>
      <c r="N26" s="7">
        <f t="shared" si="5"/>
        <v>80.796</v>
      </c>
      <c r="O26" s="13"/>
    </row>
    <row r="27" ht="15" spans="1:15">
      <c r="A27" s="9" t="s">
        <v>75</v>
      </c>
      <c r="B27" s="9" t="s">
        <v>76</v>
      </c>
      <c r="C27" s="10">
        <v>100</v>
      </c>
      <c r="D27" s="11"/>
      <c r="E27" s="5">
        <f t="shared" si="0"/>
        <v>100</v>
      </c>
      <c r="F27" s="12" t="s">
        <v>77</v>
      </c>
      <c r="G27" s="7">
        <f t="shared" si="1"/>
        <v>76.18</v>
      </c>
      <c r="H27" s="11">
        <v>60</v>
      </c>
      <c r="I27" s="11"/>
      <c r="J27" s="7">
        <f t="shared" si="2"/>
        <v>60</v>
      </c>
      <c r="K27" s="11">
        <v>60</v>
      </c>
      <c r="L27" s="11"/>
      <c r="M27" s="7">
        <f t="shared" si="3"/>
        <v>60</v>
      </c>
      <c r="N27" s="7">
        <f t="shared" si="5"/>
        <v>75.708</v>
      </c>
      <c r="O27" s="13"/>
    </row>
    <row r="28" ht="15" spans="1:15">
      <c r="A28" s="9" t="s">
        <v>78</v>
      </c>
      <c r="B28" s="9" t="s">
        <v>79</v>
      </c>
      <c r="C28" s="10">
        <v>100</v>
      </c>
      <c r="D28" s="11"/>
      <c r="E28" s="5">
        <f t="shared" si="0"/>
        <v>100</v>
      </c>
      <c r="F28" s="12" t="s">
        <v>80</v>
      </c>
      <c r="G28" s="7">
        <f t="shared" si="1"/>
        <v>75.3</v>
      </c>
      <c r="H28" s="11">
        <v>60</v>
      </c>
      <c r="I28" s="11"/>
      <c r="J28" s="7">
        <f t="shared" si="2"/>
        <v>60</v>
      </c>
      <c r="K28" s="11">
        <v>60</v>
      </c>
      <c r="L28" s="11"/>
      <c r="M28" s="7">
        <f t="shared" si="3"/>
        <v>60</v>
      </c>
      <c r="N28" s="7">
        <f t="shared" si="5"/>
        <v>75.18</v>
      </c>
      <c r="O28" s="13"/>
    </row>
    <row r="29" ht="15" spans="1:15">
      <c r="A29" s="9" t="s">
        <v>81</v>
      </c>
      <c r="B29" s="9" t="s">
        <v>82</v>
      </c>
      <c r="C29" s="4">
        <v>100</v>
      </c>
      <c r="D29" s="11"/>
      <c r="E29" s="5">
        <f t="shared" si="0"/>
        <v>100</v>
      </c>
      <c r="F29" s="12" t="s">
        <v>83</v>
      </c>
      <c r="G29" s="7">
        <f t="shared" si="1"/>
        <v>82.83</v>
      </c>
      <c r="H29" s="5">
        <v>60</v>
      </c>
      <c r="I29" s="11"/>
      <c r="J29" s="7">
        <f t="shared" si="2"/>
        <v>60</v>
      </c>
      <c r="K29" s="5">
        <v>60</v>
      </c>
      <c r="L29" s="11"/>
      <c r="M29" s="7">
        <f t="shared" si="3"/>
        <v>60</v>
      </c>
      <c r="N29" s="7">
        <f t="shared" si="5"/>
        <v>79.698</v>
      </c>
      <c r="O29" s="13"/>
    </row>
    <row r="30" ht="15" spans="1:15">
      <c r="A30" s="9" t="s">
        <v>84</v>
      </c>
      <c r="B30" s="9" t="s">
        <v>85</v>
      </c>
      <c r="C30" s="10">
        <v>100</v>
      </c>
      <c r="D30" s="11"/>
      <c r="E30" s="5">
        <f t="shared" si="0"/>
        <v>100</v>
      </c>
      <c r="F30" s="12" t="s">
        <v>86</v>
      </c>
      <c r="G30" s="7">
        <f t="shared" si="1"/>
        <v>82.55</v>
      </c>
      <c r="H30" s="11">
        <v>60</v>
      </c>
      <c r="I30" s="11"/>
      <c r="J30" s="7">
        <f t="shared" si="2"/>
        <v>60</v>
      </c>
      <c r="K30" s="11">
        <v>60</v>
      </c>
      <c r="L30" s="11"/>
      <c r="M30" s="7">
        <f t="shared" si="3"/>
        <v>60</v>
      </c>
      <c r="N30" s="7">
        <f t="shared" si="5"/>
        <v>79.53</v>
      </c>
      <c r="O30" s="13"/>
    </row>
    <row r="31" ht="15" spans="1:15">
      <c r="A31" s="9" t="s">
        <v>87</v>
      </c>
      <c r="B31" s="9" t="s">
        <v>88</v>
      </c>
      <c r="C31" s="10">
        <v>100</v>
      </c>
      <c r="D31" s="11"/>
      <c r="E31" s="5">
        <f t="shared" si="0"/>
        <v>100</v>
      </c>
      <c r="F31" s="12" t="s">
        <v>89</v>
      </c>
      <c r="G31" s="7">
        <f t="shared" si="1"/>
        <v>75.36</v>
      </c>
      <c r="H31" s="11">
        <v>60</v>
      </c>
      <c r="I31" s="11"/>
      <c r="J31" s="7">
        <f t="shared" si="2"/>
        <v>60</v>
      </c>
      <c r="K31" s="11">
        <v>60</v>
      </c>
      <c r="L31" s="11"/>
      <c r="M31" s="7">
        <f t="shared" si="3"/>
        <v>60</v>
      </c>
      <c r="N31" s="7">
        <f t="shared" si="5"/>
        <v>75.216</v>
      </c>
      <c r="O31" s="13"/>
    </row>
    <row r="32" ht="15" spans="1:15">
      <c r="A32" s="9" t="s">
        <v>90</v>
      </c>
      <c r="B32" s="9" t="s">
        <v>91</v>
      </c>
      <c r="C32" s="4">
        <v>100</v>
      </c>
      <c r="D32" s="11"/>
      <c r="E32" s="5">
        <f t="shared" si="0"/>
        <v>100</v>
      </c>
      <c r="F32" s="12" t="s">
        <v>92</v>
      </c>
      <c r="G32" s="7">
        <f t="shared" si="1"/>
        <v>77.75</v>
      </c>
      <c r="H32" s="5">
        <v>60</v>
      </c>
      <c r="I32" s="11"/>
      <c r="J32" s="7">
        <f t="shared" si="2"/>
        <v>60</v>
      </c>
      <c r="K32" s="5">
        <v>60</v>
      </c>
      <c r="L32" s="11"/>
      <c r="M32" s="7">
        <f t="shared" si="3"/>
        <v>60</v>
      </c>
      <c r="N32" s="7">
        <f t="shared" si="5"/>
        <v>76.65</v>
      </c>
      <c r="O32" s="13"/>
    </row>
    <row r="33" ht="15" spans="1:15">
      <c r="A33" s="9" t="s">
        <v>93</v>
      </c>
      <c r="B33" s="9" t="s">
        <v>94</v>
      </c>
      <c r="C33" s="10">
        <v>100</v>
      </c>
      <c r="D33" s="11"/>
      <c r="E33" s="5">
        <f t="shared" si="0"/>
        <v>100</v>
      </c>
      <c r="F33" s="12" t="s">
        <v>95</v>
      </c>
      <c r="G33" s="7">
        <f t="shared" si="1"/>
        <v>80.05</v>
      </c>
      <c r="H33" s="11">
        <v>60</v>
      </c>
      <c r="I33" s="11"/>
      <c r="J33" s="7">
        <f t="shared" si="2"/>
        <v>60</v>
      </c>
      <c r="K33" s="11">
        <v>60</v>
      </c>
      <c r="L33" s="11"/>
      <c r="M33" s="7">
        <f t="shared" si="3"/>
        <v>60</v>
      </c>
      <c r="N33" s="7">
        <f t="shared" si="5"/>
        <v>78.03</v>
      </c>
      <c r="O33" s="13"/>
    </row>
    <row r="34" ht="15" spans="1:15">
      <c r="A34" s="9" t="s">
        <v>96</v>
      </c>
      <c r="B34" s="9" t="s">
        <v>97</v>
      </c>
      <c r="C34" s="10">
        <v>100</v>
      </c>
      <c r="D34" s="11"/>
      <c r="E34" s="5">
        <f t="shared" si="0"/>
        <v>100</v>
      </c>
      <c r="F34" s="12" t="s">
        <v>98</v>
      </c>
      <c r="G34" s="7">
        <f t="shared" si="1"/>
        <v>81.65</v>
      </c>
      <c r="H34" s="11">
        <v>60</v>
      </c>
      <c r="I34" s="11"/>
      <c r="J34" s="7">
        <f t="shared" si="2"/>
        <v>60</v>
      </c>
      <c r="K34" s="11">
        <v>60</v>
      </c>
      <c r="L34" s="11"/>
      <c r="M34" s="7">
        <f t="shared" si="3"/>
        <v>60</v>
      </c>
      <c r="N34" s="7">
        <f t="shared" si="5"/>
        <v>78.99</v>
      </c>
      <c r="O34" s="13"/>
    </row>
    <row r="35" ht="15" spans="1:15">
      <c r="A35" s="9" t="s">
        <v>99</v>
      </c>
      <c r="B35" s="9" t="s">
        <v>100</v>
      </c>
      <c r="C35" s="4">
        <v>100</v>
      </c>
      <c r="D35" s="11"/>
      <c r="E35" s="5">
        <f t="shared" ref="E35:E58" si="6">C35-D35</f>
        <v>100</v>
      </c>
      <c r="F35" s="12" t="s">
        <v>101</v>
      </c>
      <c r="G35" s="7">
        <f t="shared" ref="G35:G58" si="7">(F35+5)*10</f>
        <v>83.93</v>
      </c>
      <c r="H35" s="5">
        <v>60</v>
      </c>
      <c r="I35" s="11"/>
      <c r="J35" s="7">
        <f t="shared" ref="J35:J58" si="8">H35+I35</f>
        <v>60</v>
      </c>
      <c r="K35" s="5">
        <v>60</v>
      </c>
      <c r="L35" s="11"/>
      <c r="M35" s="7">
        <f t="shared" ref="M35:M58" si="9">K35+L35</f>
        <v>60</v>
      </c>
      <c r="N35" s="7">
        <f t="shared" si="5"/>
        <v>80.358</v>
      </c>
      <c r="O35" s="13"/>
    </row>
    <row r="36" ht="15" spans="1:15">
      <c r="A36" s="9" t="s">
        <v>102</v>
      </c>
      <c r="B36" s="9" t="s">
        <v>103</v>
      </c>
      <c r="C36" s="10">
        <v>100</v>
      </c>
      <c r="D36" s="11"/>
      <c r="E36" s="5">
        <f t="shared" si="6"/>
        <v>100</v>
      </c>
      <c r="F36" s="12" t="s">
        <v>104</v>
      </c>
      <c r="G36" s="7">
        <f t="shared" si="7"/>
        <v>81.89</v>
      </c>
      <c r="H36" s="11">
        <v>60</v>
      </c>
      <c r="I36" s="11"/>
      <c r="J36" s="7">
        <f t="shared" si="8"/>
        <v>60</v>
      </c>
      <c r="K36" s="11">
        <v>60</v>
      </c>
      <c r="L36" s="11"/>
      <c r="M36" s="7">
        <f t="shared" si="9"/>
        <v>60</v>
      </c>
      <c r="N36" s="7">
        <f t="shared" si="5"/>
        <v>79.134</v>
      </c>
      <c r="O36" s="13"/>
    </row>
    <row r="37" ht="15" spans="1:15">
      <c r="A37" s="9" t="s">
        <v>105</v>
      </c>
      <c r="B37" s="9" t="s">
        <v>106</v>
      </c>
      <c r="C37" s="10">
        <v>100</v>
      </c>
      <c r="D37" s="11"/>
      <c r="E37" s="5">
        <f t="shared" si="6"/>
        <v>100</v>
      </c>
      <c r="F37" s="12" t="s">
        <v>107</v>
      </c>
      <c r="G37" s="7">
        <f t="shared" si="7"/>
        <v>77.39</v>
      </c>
      <c r="H37" s="11">
        <v>60</v>
      </c>
      <c r="I37" s="11"/>
      <c r="J37" s="7">
        <f t="shared" si="8"/>
        <v>60</v>
      </c>
      <c r="K37" s="11">
        <v>60</v>
      </c>
      <c r="L37" s="11"/>
      <c r="M37" s="7">
        <f t="shared" si="9"/>
        <v>60</v>
      </c>
      <c r="N37" s="7">
        <f t="shared" si="5"/>
        <v>76.434</v>
      </c>
      <c r="O37" s="13"/>
    </row>
    <row r="38" ht="15" spans="1:15">
      <c r="A38" s="9" t="s">
        <v>108</v>
      </c>
      <c r="B38" s="9" t="s">
        <v>109</v>
      </c>
      <c r="C38" s="4">
        <v>100</v>
      </c>
      <c r="D38" s="11"/>
      <c r="E38" s="5">
        <f t="shared" si="6"/>
        <v>100</v>
      </c>
      <c r="F38" s="12" t="s">
        <v>110</v>
      </c>
      <c r="G38" s="7">
        <f t="shared" si="7"/>
        <v>76.97</v>
      </c>
      <c r="H38" s="5">
        <v>60</v>
      </c>
      <c r="I38" s="11"/>
      <c r="J38" s="7">
        <f t="shared" si="8"/>
        <v>60</v>
      </c>
      <c r="K38" s="5">
        <v>60</v>
      </c>
      <c r="L38" s="11"/>
      <c r="M38" s="7">
        <f t="shared" si="9"/>
        <v>60</v>
      </c>
      <c r="N38" s="7">
        <f t="shared" si="5"/>
        <v>76.182</v>
      </c>
      <c r="O38" s="13"/>
    </row>
    <row r="39" ht="15" spans="1:15">
      <c r="A39" s="9" t="s">
        <v>111</v>
      </c>
      <c r="B39" s="9" t="s">
        <v>112</v>
      </c>
      <c r="C39" s="10">
        <v>100</v>
      </c>
      <c r="D39" s="11"/>
      <c r="E39" s="5">
        <f t="shared" si="6"/>
        <v>100</v>
      </c>
      <c r="F39" s="12" t="s">
        <v>113</v>
      </c>
      <c r="G39" s="7">
        <f t="shared" si="7"/>
        <v>88.31</v>
      </c>
      <c r="H39" s="11">
        <v>60</v>
      </c>
      <c r="I39" s="11"/>
      <c r="J39" s="7">
        <f t="shared" si="8"/>
        <v>60</v>
      </c>
      <c r="K39" s="11">
        <v>60</v>
      </c>
      <c r="L39" s="11"/>
      <c r="M39" s="7">
        <f t="shared" si="9"/>
        <v>60</v>
      </c>
      <c r="N39" s="7">
        <f t="shared" si="5"/>
        <v>82.986</v>
      </c>
      <c r="O39" s="13"/>
    </row>
    <row r="40" ht="15" spans="1:15">
      <c r="A40" s="9" t="s">
        <v>114</v>
      </c>
      <c r="B40" s="9" t="s">
        <v>115</v>
      </c>
      <c r="C40" s="10">
        <v>100</v>
      </c>
      <c r="D40" s="11"/>
      <c r="E40" s="5">
        <f t="shared" si="6"/>
        <v>100</v>
      </c>
      <c r="F40" s="12" t="s">
        <v>116</v>
      </c>
      <c r="G40" s="7">
        <f t="shared" si="7"/>
        <v>78.32</v>
      </c>
      <c r="H40" s="11">
        <v>60</v>
      </c>
      <c r="I40" s="11"/>
      <c r="J40" s="7">
        <f t="shared" si="8"/>
        <v>60</v>
      </c>
      <c r="K40" s="11">
        <v>60</v>
      </c>
      <c r="L40" s="11"/>
      <c r="M40" s="7">
        <f t="shared" si="9"/>
        <v>60</v>
      </c>
      <c r="N40" s="7">
        <f t="shared" si="5"/>
        <v>76.992</v>
      </c>
      <c r="O40" s="13"/>
    </row>
    <row r="41" ht="15" spans="1:15">
      <c r="A41" s="9" t="s">
        <v>117</v>
      </c>
      <c r="B41" s="9" t="s">
        <v>118</v>
      </c>
      <c r="C41" s="4">
        <v>100</v>
      </c>
      <c r="D41" s="11"/>
      <c r="E41" s="5">
        <f t="shared" si="6"/>
        <v>100</v>
      </c>
      <c r="F41" s="12" t="s">
        <v>119</v>
      </c>
      <c r="G41" s="7">
        <f t="shared" si="7"/>
        <v>73.98</v>
      </c>
      <c r="H41" s="5">
        <v>60</v>
      </c>
      <c r="I41" s="11"/>
      <c r="J41" s="7">
        <f t="shared" si="8"/>
        <v>60</v>
      </c>
      <c r="K41" s="5">
        <v>60</v>
      </c>
      <c r="L41" s="11"/>
      <c r="M41" s="7">
        <f t="shared" si="9"/>
        <v>60</v>
      </c>
      <c r="N41" s="7">
        <f t="shared" ref="N41:N58" si="10">E41*0.15+G41*0.6+J41*0.1+M41*0.15</f>
        <v>74.388</v>
      </c>
      <c r="O41" s="13"/>
    </row>
    <row r="42" ht="15" spans="1:15">
      <c r="A42" s="9" t="s">
        <v>120</v>
      </c>
      <c r="B42" s="9" t="s">
        <v>121</v>
      </c>
      <c r="C42" s="10">
        <v>100</v>
      </c>
      <c r="D42" s="11"/>
      <c r="E42" s="5">
        <f t="shared" si="6"/>
        <v>100</v>
      </c>
      <c r="F42" s="12" t="s">
        <v>122</v>
      </c>
      <c r="G42" s="7">
        <f t="shared" si="7"/>
        <v>76.4</v>
      </c>
      <c r="H42" s="11">
        <v>60</v>
      </c>
      <c r="I42" s="11"/>
      <c r="J42" s="7">
        <f t="shared" si="8"/>
        <v>60</v>
      </c>
      <c r="K42" s="11">
        <v>60</v>
      </c>
      <c r="L42" s="11"/>
      <c r="M42" s="7">
        <f t="shared" si="9"/>
        <v>60</v>
      </c>
      <c r="N42" s="7">
        <f t="shared" si="10"/>
        <v>75.84</v>
      </c>
      <c r="O42" s="13"/>
    </row>
    <row r="43" ht="15" spans="1:15">
      <c r="A43" s="9" t="s">
        <v>123</v>
      </c>
      <c r="B43" s="9" t="s">
        <v>124</v>
      </c>
      <c r="C43" s="10">
        <v>100</v>
      </c>
      <c r="D43" s="11"/>
      <c r="E43" s="5">
        <f t="shared" si="6"/>
        <v>100</v>
      </c>
      <c r="F43" s="12" t="s">
        <v>125</v>
      </c>
      <c r="G43" s="7">
        <f t="shared" si="7"/>
        <v>80.7</v>
      </c>
      <c r="H43" s="11">
        <v>60</v>
      </c>
      <c r="I43" s="11"/>
      <c r="J43" s="7">
        <f t="shared" si="8"/>
        <v>60</v>
      </c>
      <c r="K43" s="11">
        <v>60</v>
      </c>
      <c r="L43" s="11"/>
      <c r="M43" s="7">
        <f t="shared" si="9"/>
        <v>60</v>
      </c>
      <c r="N43" s="7">
        <f t="shared" si="10"/>
        <v>78.42</v>
      </c>
      <c r="O43" s="13"/>
    </row>
    <row r="44" ht="15" spans="1:15">
      <c r="A44" s="9" t="s">
        <v>126</v>
      </c>
      <c r="B44" s="9" t="s">
        <v>127</v>
      </c>
      <c r="C44" s="4">
        <v>100</v>
      </c>
      <c r="D44" s="11"/>
      <c r="E44" s="5">
        <f t="shared" si="6"/>
        <v>100</v>
      </c>
      <c r="F44" s="12" t="s">
        <v>128</v>
      </c>
      <c r="G44" s="7">
        <f t="shared" si="7"/>
        <v>74.15</v>
      </c>
      <c r="H44" s="5">
        <v>60</v>
      </c>
      <c r="I44" s="11"/>
      <c r="J44" s="7">
        <f t="shared" si="8"/>
        <v>60</v>
      </c>
      <c r="K44" s="5">
        <v>60</v>
      </c>
      <c r="L44" s="11"/>
      <c r="M44" s="7">
        <f t="shared" si="9"/>
        <v>60</v>
      </c>
      <c r="N44" s="7">
        <f t="shared" si="10"/>
        <v>74.49</v>
      </c>
      <c r="O44" s="13"/>
    </row>
    <row r="45" ht="15" spans="1:15">
      <c r="A45" s="9" t="s">
        <v>129</v>
      </c>
      <c r="B45" s="9" t="s">
        <v>130</v>
      </c>
      <c r="C45" s="10">
        <v>100</v>
      </c>
      <c r="D45" s="11"/>
      <c r="E45" s="5">
        <f t="shared" si="6"/>
        <v>100</v>
      </c>
      <c r="F45" s="12" t="s">
        <v>131</v>
      </c>
      <c r="G45" s="7">
        <f t="shared" si="7"/>
        <v>70.91</v>
      </c>
      <c r="H45" s="11">
        <v>60</v>
      </c>
      <c r="I45" s="11"/>
      <c r="J45" s="7">
        <f t="shared" si="8"/>
        <v>60</v>
      </c>
      <c r="K45" s="11">
        <v>60</v>
      </c>
      <c r="L45" s="11"/>
      <c r="M45" s="7">
        <f t="shared" si="9"/>
        <v>60</v>
      </c>
      <c r="N45" s="7">
        <f t="shared" si="10"/>
        <v>72.546</v>
      </c>
      <c r="O45" s="13"/>
    </row>
    <row r="46" ht="15" spans="1:15">
      <c r="A46" s="9" t="s">
        <v>132</v>
      </c>
      <c r="B46" s="9" t="s">
        <v>133</v>
      </c>
      <c r="C46" s="10">
        <v>100</v>
      </c>
      <c r="D46" s="11"/>
      <c r="E46" s="5">
        <f t="shared" si="6"/>
        <v>100</v>
      </c>
      <c r="F46" s="12" t="s">
        <v>134</v>
      </c>
      <c r="G46" s="7">
        <f t="shared" si="7"/>
        <v>74.58</v>
      </c>
      <c r="H46" s="11">
        <v>60</v>
      </c>
      <c r="I46" s="11"/>
      <c r="J46" s="7">
        <f t="shared" si="8"/>
        <v>60</v>
      </c>
      <c r="K46" s="11">
        <v>60</v>
      </c>
      <c r="L46" s="11"/>
      <c r="M46" s="7">
        <f t="shared" si="9"/>
        <v>60</v>
      </c>
      <c r="N46" s="7">
        <f t="shared" si="10"/>
        <v>74.748</v>
      </c>
      <c r="O46" s="13"/>
    </row>
    <row r="47" ht="15" spans="1:15">
      <c r="A47" s="9" t="s">
        <v>135</v>
      </c>
      <c r="B47" s="9" t="s">
        <v>136</v>
      </c>
      <c r="C47" s="4">
        <v>100</v>
      </c>
      <c r="D47" s="11"/>
      <c r="E47" s="5">
        <f t="shared" si="6"/>
        <v>100</v>
      </c>
      <c r="F47" s="12" t="s">
        <v>137</v>
      </c>
      <c r="G47" s="7">
        <f t="shared" si="7"/>
        <v>74.88</v>
      </c>
      <c r="H47" s="5">
        <v>60</v>
      </c>
      <c r="I47" s="11"/>
      <c r="J47" s="7">
        <f t="shared" si="8"/>
        <v>60</v>
      </c>
      <c r="K47" s="5">
        <v>60</v>
      </c>
      <c r="L47" s="11"/>
      <c r="M47" s="7">
        <f t="shared" si="9"/>
        <v>60</v>
      </c>
      <c r="N47" s="7">
        <f t="shared" si="10"/>
        <v>74.928</v>
      </c>
      <c r="O47" s="13"/>
    </row>
    <row r="48" ht="15" spans="1:15">
      <c r="A48" s="9" t="s">
        <v>138</v>
      </c>
      <c r="B48" s="9" t="s">
        <v>139</v>
      </c>
      <c r="C48" s="10">
        <v>100</v>
      </c>
      <c r="D48" s="11"/>
      <c r="E48" s="5">
        <f t="shared" si="6"/>
        <v>100</v>
      </c>
      <c r="F48" s="12" t="s">
        <v>140</v>
      </c>
      <c r="G48" s="7">
        <f t="shared" si="7"/>
        <v>80.37</v>
      </c>
      <c r="H48" s="11">
        <v>60</v>
      </c>
      <c r="I48" s="11"/>
      <c r="J48" s="7">
        <f t="shared" si="8"/>
        <v>60</v>
      </c>
      <c r="K48" s="11">
        <v>60</v>
      </c>
      <c r="L48" s="11"/>
      <c r="M48" s="7">
        <f t="shared" si="9"/>
        <v>60</v>
      </c>
      <c r="N48" s="7">
        <f t="shared" si="10"/>
        <v>78.222</v>
      </c>
      <c r="O48" s="13"/>
    </row>
    <row r="49" ht="15" spans="1:15">
      <c r="A49" s="9" t="s">
        <v>141</v>
      </c>
      <c r="B49" s="9" t="s">
        <v>142</v>
      </c>
      <c r="C49" s="10">
        <v>100</v>
      </c>
      <c r="D49" s="11"/>
      <c r="E49" s="5">
        <f t="shared" si="6"/>
        <v>100</v>
      </c>
      <c r="F49" s="12" t="s">
        <v>143</v>
      </c>
      <c r="G49" s="7">
        <f t="shared" si="7"/>
        <v>82.02</v>
      </c>
      <c r="H49" s="11">
        <v>60</v>
      </c>
      <c r="I49" s="11"/>
      <c r="J49" s="7">
        <f t="shared" si="8"/>
        <v>60</v>
      </c>
      <c r="K49" s="11">
        <v>60</v>
      </c>
      <c r="L49" s="11"/>
      <c r="M49" s="7">
        <f t="shared" si="9"/>
        <v>60</v>
      </c>
      <c r="N49" s="7">
        <f t="shared" si="10"/>
        <v>79.212</v>
      </c>
      <c r="O49" s="13"/>
    </row>
    <row r="50" ht="15" spans="1:15">
      <c r="A50" s="13"/>
      <c r="B50" s="13"/>
      <c r="C50" s="5"/>
      <c r="D50" s="11"/>
      <c r="E50" s="5"/>
      <c r="F50" s="11"/>
      <c r="G50" s="7"/>
      <c r="H50" s="5"/>
      <c r="I50" s="11"/>
      <c r="J50" s="7"/>
      <c r="K50" s="5"/>
      <c r="L50" s="11"/>
      <c r="M50" s="7"/>
      <c r="N50" s="7"/>
      <c r="O50" s="13"/>
    </row>
    <row r="51" ht="15" spans="1:15">
      <c r="A51" s="13"/>
      <c r="B51" s="13"/>
      <c r="C51" s="11"/>
      <c r="D51" s="11"/>
      <c r="E51" s="5"/>
      <c r="F51" s="11"/>
      <c r="G51" s="7"/>
      <c r="H51" s="11"/>
      <c r="I51" s="11"/>
      <c r="J51" s="7"/>
      <c r="K51" s="11"/>
      <c r="L51" s="11"/>
      <c r="M51" s="7"/>
      <c r="N51" s="7"/>
      <c r="O51" s="13"/>
    </row>
    <row r="52" ht="15" spans="1:15">
      <c r="A52" s="13"/>
      <c r="B52" s="13"/>
      <c r="C52" s="11"/>
      <c r="D52" s="11"/>
      <c r="E52" s="5"/>
      <c r="F52" s="11"/>
      <c r="G52" s="7"/>
      <c r="H52" s="11"/>
      <c r="I52" s="11"/>
      <c r="J52" s="7"/>
      <c r="K52" s="11"/>
      <c r="L52" s="11"/>
      <c r="M52" s="7"/>
      <c r="N52" s="7"/>
      <c r="O52" s="13"/>
    </row>
    <row r="53" ht="15" spans="1:15">
      <c r="A53" s="14"/>
      <c r="B53" s="14"/>
      <c r="C53" s="5"/>
      <c r="D53" s="15"/>
      <c r="E53" s="5"/>
      <c r="F53" s="15"/>
      <c r="G53" s="7"/>
      <c r="H53" s="5"/>
      <c r="I53" s="15"/>
      <c r="J53" s="7"/>
      <c r="K53" s="5"/>
      <c r="L53" s="15"/>
      <c r="M53" s="7"/>
      <c r="N53" s="7"/>
      <c r="O53" s="14"/>
    </row>
    <row r="54" ht="15" spans="1:15">
      <c r="A54" s="13"/>
      <c r="B54" s="13"/>
      <c r="C54" s="11"/>
      <c r="D54" s="11"/>
      <c r="E54" s="5"/>
      <c r="F54" s="11"/>
      <c r="G54" s="7"/>
      <c r="H54" s="11"/>
      <c r="I54" s="11"/>
      <c r="J54" s="7"/>
      <c r="K54" s="11"/>
      <c r="L54" s="11"/>
      <c r="M54" s="7"/>
      <c r="N54" s="7"/>
      <c r="O54" s="13"/>
    </row>
    <row r="55" ht="15" spans="1:15">
      <c r="A55" s="13"/>
      <c r="B55" s="13"/>
      <c r="C55" s="11"/>
      <c r="D55" s="11"/>
      <c r="E55" s="5"/>
      <c r="F55" s="11"/>
      <c r="G55" s="7"/>
      <c r="H55" s="11"/>
      <c r="I55" s="11"/>
      <c r="J55" s="7"/>
      <c r="K55" s="11"/>
      <c r="L55" s="11"/>
      <c r="M55" s="7"/>
      <c r="N55" s="7"/>
      <c r="O55" s="13"/>
    </row>
    <row r="56" ht="15" spans="1:15">
      <c r="A56" s="13"/>
      <c r="B56" s="13"/>
      <c r="C56" s="5"/>
      <c r="D56" s="11"/>
      <c r="E56" s="5"/>
      <c r="F56" s="11"/>
      <c r="G56" s="7"/>
      <c r="H56" s="5"/>
      <c r="I56" s="11"/>
      <c r="J56" s="7"/>
      <c r="K56" s="5"/>
      <c r="L56" s="11"/>
      <c r="M56" s="7"/>
      <c r="N56" s="7"/>
      <c r="O56" s="13"/>
    </row>
    <row r="57" ht="15" spans="1:15">
      <c r="A57" s="14"/>
      <c r="B57" s="14"/>
      <c r="C57" s="15"/>
      <c r="D57" s="15"/>
      <c r="E57" s="5"/>
      <c r="F57" s="15"/>
      <c r="G57" s="7"/>
      <c r="H57" s="15"/>
      <c r="I57" s="15"/>
      <c r="J57" s="7"/>
      <c r="K57" s="15"/>
      <c r="L57" s="15"/>
      <c r="M57" s="7"/>
      <c r="N57" s="7"/>
      <c r="O57" s="14"/>
    </row>
    <row r="58" ht="15" spans="1:15">
      <c r="A58" s="13"/>
      <c r="B58" s="13"/>
      <c r="C58" s="11"/>
      <c r="D58" s="11"/>
      <c r="E58" s="16"/>
      <c r="F58" s="11"/>
      <c r="G58" s="17"/>
      <c r="H58" s="11"/>
      <c r="I58" s="11"/>
      <c r="J58" s="17"/>
      <c r="K58" s="11"/>
      <c r="L58" s="11"/>
      <c r="M58" s="17"/>
      <c r="N58" s="17"/>
      <c r="O58" s="1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opLeftCell="A14" workbookViewId="0">
      <selection activeCell="D1" sqref="D1:D48"/>
    </sheetView>
  </sheetViews>
  <sheetFormatPr defaultColWidth="9" defaultRowHeight="13.5" outlineLevelCol="3"/>
  <sheetData>
    <row r="1" spans="1:4">
      <c r="A1" s="1" t="s">
        <v>144</v>
      </c>
      <c r="B1" s="1" t="s">
        <v>0</v>
      </c>
      <c r="C1" s="1" t="s">
        <v>1</v>
      </c>
      <c r="D1" s="1" t="s">
        <v>2</v>
      </c>
    </row>
    <row r="2" spans="1:4">
      <c r="A2" s="1" t="s">
        <v>144</v>
      </c>
      <c r="B2" s="1" t="s">
        <v>3</v>
      </c>
      <c r="C2" s="1" t="s">
        <v>4</v>
      </c>
      <c r="D2" s="1" t="s">
        <v>5</v>
      </c>
    </row>
    <row r="3" spans="1:4">
      <c r="A3" s="1" t="s">
        <v>144</v>
      </c>
      <c r="B3" s="1" t="s">
        <v>6</v>
      </c>
      <c r="C3" s="1" t="s">
        <v>7</v>
      </c>
      <c r="D3" s="1" t="s">
        <v>8</v>
      </c>
    </row>
    <row r="4" spans="1:4">
      <c r="A4" s="1" t="s">
        <v>144</v>
      </c>
      <c r="B4" s="1" t="s">
        <v>9</v>
      </c>
      <c r="C4" s="1" t="s">
        <v>10</v>
      </c>
      <c r="D4" s="1" t="s">
        <v>11</v>
      </c>
    </row>
    <row r="5" spans="1:4">
      <c r="A5" s="1" t="s">
        <v>144</v>
      </c>
      <c r="B5" s="1" t="s">
        <v>12</v>
      </c>
      <c r="C5" s="1" t="s">
        <v>13</v>
      </c>
      <c r="D5" s="1" t="s">
        <v>14</v>
      </c>
    </row>
    <row r="6" spans="1:4">
      <c r="A6" s="1" t="s">
        <v>144</v>
      </c>
      <c r="B6" s="1" t="s">
        <v>15</v>
      </c>
      <c r="C6" s="1" t="s">
        <v>16</v>
      </c>
      <c r="D6" s="1" t="s">
        <v>17</v>
      </c>
    </row>
    <row r="7" spans="1:4">
      <c r="A7" s="1" t="s">
        <v>144</v>
      </c>
      <c r="B7" s="1" t="s">
        <v>18</v>
      </c>
      <c r="C7" s="1" t="s">
        <v>19</v>
      </c>
      <c r="D7" s="1" t="s">
        <v>20</v>
      </c>
    </row>
    <row r="8" spans="1:4">
      <c r="A8" s="1" t="s">
        <v>144</v>
      </c>
      <c r="B8" s="1" t="s">
        <v>21</v>
      </c>
      <c r="C8" s="1" t="s">
        <v>22</v>
      </c>
      <c r="D8" s="1" t="s">
        <v>23</v>
      </c>
    </row>
    <row r="9" spans="1:4">
      <c r="A9" s="1" t="s">
        <v>144</v>
      </c>
      <c r="B9" s="1" t="s">
        <v>24</v>
      </c>
      <c r="C9" s="1" t="s">
        <v>25</v>
      </c>
      <c r="D9" s="1" t="s">
        <v>26</v>
      </c>
    </row>
    <row r="10" spans="1:4">
      <c r="A10" s="1" t="s">
        <v>144</v>
      </c>
      <c r="B10" s="1" t="s">
        <v>27</v>
      </c>
      <c r="C10" s="1" t="s">
        <v>28</v>
      </c>
      <c r="D10" s="1" t="s">
        <v>29</v>
      </c>
    </row>
    <row r="11" spans="1:4">
      <c r="A11" s="1" t="s">
        <v>144</v>
      </c>
      <c r="B11" s="1" t="s">
        <v>30</v>
      </c>
      <c r="C11" s="1" t="s">
        <v>31</v>
      </c>
      <c r="D11" s="1" t="s">
        <v>32</v>
      </c>
    </row>
    <row r="12" spans="1:4">
      <c r="A12" s="1" t="s">
        <v>144</v>
      </c>
      <c r="B12" s="1" t="s">
        <v>33</v>
      </c>
      <c r="C12" s="1" t="s">
        <v>34</v>
      </c>
      <c r="D12" s="1" t="s">
        <v>35</v>
      </c>
    </row>
    <row r="13" spans="1:4">
      <c r="A13" s="1" t="s">
        <v>144</v>
      </c>
      <c r="B13" s="1" t="s">
        <v>36</v>
      </c>
      <c r="C13" s="1" t="s">
        <v>37</v>
      </c>
      <c r="D13" s="1" t="s">
        <v>38</v>
      </c>
    </row>
    <row r="14" spans="1:4">
      <c r="A14" s="1" t="s">
        <v>144</v>
      </c>
      <c r="B14" s="1" t="s">
        <v>39</v>
      </c>
      <c r="C14" s="1" t="s">
        <v>40</v>
      </c>
      <c r="D14" s="1" t="s">
        <v>41</v>
      </c>
    </row>
    <row r="15" spans="1:4">
      <c r="A15" s="1" t="s">
        <v>144</v>
      </c>
      <c r="B15" s="1" t="s">
        <v>42</v>
      </c>
      <c r="C15" s="1" t="s">
        <v>43</v>
      </c>
      <c r="D15" s="1" t="s">
        <v>44</v>
      </c>
    </row>
    <row r="16" spans="1:4">
      <c r="A16" s="1" t="s">
        <v>144</v>
      </c>
      <c r="B16" s="1" t="s">
        <v>45</v>
      </c>
      <c r="C16" s="1" t="s">
        <v>46</v>
      </c>
      <c r="D16" s="1" t="s">
        <v>47</v>
      </c>
    </row>
    <row r="17" spans="1:4">
      <c r="A17" s="1" t="s">
        <v>144</v>
      </c>
      <c r="B17" s="1" t="s">
        <v>48</v>
      </c>
      <c r="C17" s="1" t="s">
        <v>49</v>
      </c>
      <c r="D17" s="1" t="s">
        <v>50</v>
      </c>
    </row>
    <row r="18" spans="1:4">
      <c r="A18" s="1" t="s">
        <v>144</v>
      </c>
      <c r="B18" s="1" t="s">
        <v>51</v>
      </c>
      <c r="C18" s="1" t="s">
        <v>52</v>
      </c>
      <c r="D18" s="1" t="s">
        <v>53</v>
      </c>
    </row>
    <row r="19" spans="1:4">
      <c r="A19" s="1" t="s">
        <v>144</v>
      </c>
      <c r="B19" s="1" t="s">
        <v>54</v>
      </c>
      <c r="C19" s="1" t="s">
        <v>55</v>
      </c>
      <c r="D19" s="1" t="s">
        <v>56</v>
      </c>
    </row>
    <row r="20" spans="1:4">
      <c r="A20" s="1" t="s">
        <v>144</v>
      </c>
      <c r="B20" s="1" t="s">
        <v>57</v>
      </c>
      <c r="C20" s="1" t="s">
        <v>58</v>
      </c>
      <c r="D20" s="1" t="s">
        <v>59</v>
      </c>
    </row>
    <row r="21" spans="1:4">
      <c r="A21" s="1" t="s">
        <v>144</v>
      </c>
      <c r="B21" s="1" t="s">
        <v>60</v>
      </c>
      <c r="C21" s="1" t="s">
        <v>61</v>
      </c>
      <c r="D21" s="1" t="s">
        <v>62</v>
      </c>
    </row>
    <row r="22" spans="1:4">
      <c r="A22" s="1" t="s">
        <v>144</v>
      </c>
      <c r="B22" s="1" t="s">
        <v>63</v>
      </c>
      <c r="C22" s="1" t="s">
        <v>64</v>
      </c>
      <c r="D22" s="1" t="s">
        <v>65</v>
      </c>
    </row>
    <row r="23" spans="1:4">
      <c r="A23" s="1" t="s">
        <v>144</v>
      </c>
      <c r="B23" s="1" t="s">
        <v>66</v>
      </c>
      <c r="C23" s="1" t="s">
        <v>67</v>
      </c>
      <c r="D23" s="1" t="s">
        <v>68</v>
      </c>
    </row>
    <row r="24" spans="1:4">
      <c r="A24" s="1" t="s">
        <v>144</v>
      </c>
      <c r="B24" s="1" t="s">
        <v>69</v>
      </c>
      <c r="C24" s="1" t="s">
        <v>70</v>
      </c>
      <c r="D24" s="1" t="s">
        <v>71</v>
      </c>
    </row>
    <row r="25" spans="1:4">
      <c r="A25" s="1" t="s">
        <v>144</v>
      </c>
      <c r="B25" s="1" t="s">
        <v>72</v>
      </c>
      <c r="C25" s="1" t="s">
        <v>73</v>
      </c>
      <c r="D25" s="1" t="s">
        <v>74</v>
      </c>
    </row>
    <row r="26" spans="1:4">
      <c r="A26" s="1" t="s">
        <v>144</v>
      </c>
      <c r="B26" s="1" t="s">
        <v>75</v>
      </c>
      <c r="C26" s="1" t="s">
        <v>76</v>
      </c>
      <c r="D26" s="1" t="s">
        <v>77</v>
      </c>
    </row>
    <row r="27" spans="1:4">
      <c r="A27" s="1" t="s">
        <v>144</v>
      </c>
      <c r="B27" s="1" t="s">
        <v>78</v>
      </c>
      <c r="C27" s="1" t="s">
        <v>79</v>
      </c>
      <c r="D27" s="1" t="s">
        <v>80</v>
      </c>
    </row>
    <row r="28" spans="1:4">
      <c r="A28" s="1" t="s">
        <v>144</v>
      </c>
      <c r="B28" s="1" t="s">
        <v>81</v>
      </c>
      <c r="C28" s="1" t="s">
        <v>82</v>
      </c>
      <c r="D28" s="1" t="s">
        <v>83</v>
      </c>
    </row>
    <row r="29" spans="1:4">
      <c r="A29" s="1" t="s">
        <v>144</v>
      </c>
      <c r="B29" s="1" t="s">
        <v>84</v>
      </c>
      <c r="C29" s="1" t="s">
        <v>85</v>
      </c>
      <c r="D29" s="1" t="s">
        <v>86</v>
      </c>
    </row>
    <row r="30" spans="1:4">
      <c r="A30" s="1" t="s">
        <v>144</v>
      </c>
      <c r="B30" s="1" t="s">
        <v>87</v>
      </c>
      <c r="C30" s="1" t="s">
        <v>88</v>
      </c>
      <c r="D30" s="1" t="s">
        <v>89</v>
      </c>
    </row>
    <row r="31" spans="1:4">
      <c r="A31" s="1" t="s">
        <v>144</v>
      </c>
      <c r="B31" s="1" t="s">
        <v>90</v>
      </c>
      <c r="C31" s="1" t="s">
        <v>91</v>
      </c>
      <c r="D31" s="1" t="s">
        <v>92</v>
      </c>
    </row>
    <row r="32" spans="1:4">
      <c r="A32" s="1" t="s">
        <v>144</v>
      </c>
      <c r="B32" s="1" t="s">
        <v>93</v>
      </c>
      <c r="C32" s="1" t="s">
        <v>94</v>
      </c>
      <c r="D32" s="1" t="s">
        <v>95</v>
      </c>
    </row>
    <row r="33" spans="1:4">
      <c r="A33" s="1" t="s">
        <v>144</v>
      </c>
      <c r="B33" s="1" t="s">
        <v>96</v>
      </c>
      <c r="C33" s="1" t="s">
        <v>97</v>
      </c>
      <c r="D33" s="1" t="s">
        <v>98</v>
      </c>
    </row>
    <row r="34" spans="1:4">
      <c r="A34" s="1" t="s">
        <v>144</v>
      </c>
      <c r="B34" s="1" t="s">
        <v>99</v>
      </c>
      <c r="C34" s="1" t="s">
        <v>100</v>
      </c>
      <c r="D34" s="1" t="s">
        <v>101</v>
      </c>
    </row>
    <row r="35" spans="1:4">
      <c r="A35" s="1" t="s">
        <v>144</v>
      </c>
      <c r="B35" s="1" t="s">
        <v>102</v>
      </c>
      <c r="C35" s="1" t="s">
        <v>103</v>
      </c>
      <c r="D35" s="1" t="s">
        <v>104</v>
      </c>
    </row>
    <row r="36" spans="1:4">
      <c r="A36" s="1" t="s">
        <v>144</v>
      </c>
      <c r="B36" s="1" t="s">
        <v>105</v>
      </c>
      <c r="C36" s="1" t="s">
        <v>106</v>
      </c>
      <c r="D36" s="1" t="s">
        <v>107</v>
      </c>
    </row>
    <row r="37" spans="1:4">
      <c r="A37" s="1" t="s">
        <v>144</v>
      </c>
      <c r="B37" s="1" t="s">
        <v>108</v>
      </c>
      <c r="C37" s="1" t="s">
        <v>109</v>
      </c>
      <c r="D37" s="1" t="s">
        <v>110</v>
      </c>
    </row>
    <row r="38" spans="1:4">
      <c r="A38" s="1" t="s">
        <v>144</v>
      </c>
      <c r="B38" s="1" t="s">
        <v>111</v>
      </c>
      <c r="C38" s="1" t="s">
        <v>112</v>
      </c>
      <c r="D38" s="1" t="s">
        <v>113</v>
      </c>
    </row>
    <row r="39" spans="1:4">
      <c r="A39" s="1" t="s">
        <v>144</v>
      </c>
      <c r="B39" s="1" t="s">
        <v>114</v>
      </c>
      <c r="C39" s="1" t="s">
        <v>115</v>
      </c>
      <c r="D39" s="1" t="s">
        <v>116</v>
      </c>
    </row>
    <row r="40" spans="1:4">
      <c r="A40" s="1" t="s">
        <v>144</v>
      </c>
      <c r="B40" s="1" t="s">
        <v>117</v>
      </c>
      <c r="C40" s="1" t="s">
        <v>118</v>
      </c>
      <c r="D40" s="1" t="s">
        <v>119</v>
      </c>
    </row>
    <row r="41" spans="1:4">
      <c r="A41" s="1" t="s">
        <v>144</v>
      </c>
      <c r="B41" s="1" t="s">
        <v>120</v>
      </c>
      <c r="C41" s="1" t="s">
        <v>121</v>
      </c>
      <c r="D41" s="1" t="s">
        <v>122</v>
      </c>
    </row>
    <row r="42" spans="1:4">
      <c r="A42" s="1" t="s">
        <v>144</v>
      </c>
      <c r="B42" s="1" t="s">
        <v>123</v>
      </c>
      <c r="C42" s="1" t="s">
        <v>124</v>
      </c>
      <c r="D42" s="1" t="s">
        <v>125</v>
      </c>
    </row>
    <row r="43" spans="1:4">
      <c r="A43" s="1" t="s">
        <v>144</v>
      </c>
      <c r="B43" s="1" t="s">
        <v>126</v>
      </c>
      <c r="C43" s="1" t="s">
        <v>127</v>
      </c>
      <c r="D43" s="1" t="s">
        <v>128</v>
      </c>
    </row>
    <row r="44" spans="1:4">
      <c r="A44" s="1" t="s">
        <v>144</v>
      </c>
      <c r="B44" s="1" t="s">
        <v>129</v>
      </c>
      <c r="C44" s="1" t="s">
        <v>130</v>
      </c>
      <c r="D44" s="1" t="s">
        <v>131</v>
      </c>
    </row>
    <row r="45" spans="1:4">
      <c r="A45" s="1" t="s">
        <v>144</v>
      </c>
      <c r="B45" s="1" t="s">
        <v>132</v>
      </c>
      <c r="C45" s="1" t="s">
        <v>133</v>
      </c>
      <c r="D45" s="1" t="s">
        <v>134</v>
      </c>
    </row>
    <row r="46" spans="1:4">
      <c r="A46" s="1" t="s">
        <v>144</v>
      </c>
      <c r="B46" s="1" t="s">
        <v>135</v>
      </c>
      <c r="C46" s="1" t="s">
        <v>136</v>
      </c>
      <c r="D46" s="1" t="s">
        <v>137</v>
      </c>
    </row>
    <row r="47" spans="1:4">
      <c r="A47" s="1" t="s">
        <v>144</v>
      </c>
      <c r="B47" s="1" t="s">
        <v>138</v>
      </c>
      <c r="C47" s="1" t="s">
        <v>139</v>
      </c>
      <c r="D47" s="1" t="s">
        <v>140</v>
      </c>
    </row>
    <row r="48" spans="1:4">
      <c r="A48" s="1" t="s">
        <v>144</v>
      </c>
      <c r="B48" s="1" t="s">
        <v>141</v>
      </c>
      <c r="C48" s="1" t="s">
        <v>142</v>
      </c>
      <c r="D48" s="1" t="s">
        <v>143</v>
      </c>
    </row>
  </sheetData>
  <sortState ref="A1:D48">
    <sortCondition ref="B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麦小智灬Zero</cp:lastModifiedBy>
  <dcterms:created xsi:type="dcterms:W3CDTF">2024-09-24T10:46:00Z</dcterms:created>
  <dcterms:modified xsi:type="dcterms:W3CDTF">2026-03-13T08:21:39Z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87EB8634B55E4D3493615665496D8B4F_13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